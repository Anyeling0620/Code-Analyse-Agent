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ad5963805b4c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估结果" sheetId="1" r:id="Rbd5b99336e184342"/>
    <x:sheet xmlns:r="http://schemas.openxmlformats.org/officeDocument/2006/relationships" name="调用明细" sheetId="2" r:id="R448f7f48f85f4cf7"/>
    <x:sheet xmlns:r="http://schemas.openxmlformats.org/officeDocument/2006/relationships" name="回答原文" sheetId="3" r:id="R69c7502b66cc42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%"/>
  </x:numFmts>
  <x:fonts count="8">
    <x:font>
      <x:sz val="11"/>
      <x:name val="Carlito"/>
    </x:font>
    <x:font>
      <x:b/>
      <x:sz val="14"/>
      <x:name val="Arial"/>
    </x:font>
    <x:font>
      <x:sz val="10"/>
      <x:name val="Arial"/>
    </x:font>
    <x:font>
      <x:sz val="10"/>
      <x:color rgb="FF595959"/>
      <x:name val="Arial"/>
    </x:font>
    <x:font>
      <x:b/>
      <x:sz val="10"/>
      <x:color rgb="FFFFFFFF"/>
      <x:name val="Arial"/>
    </x:font>
    <x:font>
      <x:i/>
      <x:sz val="9"/>
      <x:color rgb="FF595959"/>
      <x:name val="Arial"/>
    </x:font>
    <x:font>
      <x:b/>
      <x:sz val="10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5597"/>
      </x:patternFill>
    </x:fill>
  </x:fills>
  <x:borders count="14">
    <x:border/>
    <x:border>
      <x:bottom style="thin">
        <x:color rgb="FFB4C6E7"/>
      </x:bottom>
    </x:border>
    <x:border>
      <x:left style="thin">
        <x:color rgb="FFD9D9D9"/>
      </x:left>
      <x:top style="thin">
        <x:color rgb="FFD9D9D9"/>
      </x:top>
      <x:bottom style="thin">
        <x:color rgb="FFEDEDED"/>
      </x:bottom>
    </x:border>
    <x:border>
      <x:top style="thin">
        <x:color rgb="FFD9D9D9"/>
      </x:top>
      <x:bottom style="thin">
        <x:color rgb="FFEDEDED"/>
      </x:bottom>
    </x:border>
    <x:border>
      <x:right style="thin">
        <x:color rgb="FFD9D9D9"/>
      </x:right>
      <x:top style="thin">
        <x:color rgb="FFD9D9D9"/>
      </x:top>
      <x:bottom style="thin">
        <x:color rgb="FFEDEDED"/>
      </x:bottom>
    </x:border>
    <x:border>
      <x:left style="thin">
        <x:color rgb="FFD9D9D9"/>
      </x:left>
      <x:top style="thin">
        <x:color rgb="FFEDEDED"/>
      </x:top>
      <x:bottom style="thin">
        <x:color rgb="FFEDEDED"/>
      </x:bottom>
    </x:border>
    <x:border>
      <x:top style="thin">
        <x:color rgb="FFEDEDED"/>
      </x:top>
      <x:bottom style="thin">
        <x:color rgb="FFEDEDED"/>
      </x:bottom>
    </x:border>
    <x:border>
      <x:right style="thin">
        <x:color rgb="FFD9D9D9"/>
      </x:right>
      <x:top style="thin">
        <x:color rgb="FFEDEDED"/>
      </x:top>
      <x:bottom style="thin">
        <x:color rgb="FFEDEDED"/>
      </x:bottom>
    </x:border>
    <x:border>
      <x:left style="thin">
        <x:color rgb="FFD9D9D9"/>
      </x:left>
      <x:top style="thin">
        <x:color rgb="FFEDEDED"/>
      </x:top>
      <x:bottom style="thin">
        <x:color rgb="FFD9D9D9"/>
      </x:bottom>
    </x:border>
    <x:border>
      <x:top style="thin">
        <x:color rgb="FFEDEDED"/>
      </x:top>
      <x:bottom style="thin">
        <x:color rgb="FFD9D9D9"/>
      </x:bottom>
    </x:border>
    <x:border>
      <x:right style="thin">
        <x:color rgb="FFD9D9D9"/>
      </x:right>
      <x:top style="thin">
        <x:color rgb="FFEDEDED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0" fontId="2" fillId="0" borderId="9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  <x:xf numFmtId="201" fontId="2" fillId="0" borderId="9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7" xfId="0" applyNumberFormat="1" applyFont="1" applyFill="1" applyBorder="1" applyAlignment="1">
      <x:alignment vertical="center"/>
    </x:xf>
    <x:xf numFmtId="200" fontId="2" fillId="0" borderId="1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0"/>
    </x:xf>
    <x:xf numFmtId="202" fontId="2" fillId="0" borderId="3" xfId="0" applyNumberFormat="1" applyFont="1" applyFill="1" applyBorder="1" applyAlignment="1">
      <x:alignment vertical="center"/>
    </x:xf>
    <x:xf numFmtId="202" fontId="2" fillId="0" borderId="6" xfId="0" applyNumberFormat="1" applyFont="1" applyFill="1" applyBorder="1" applyAlignment="1">
      <x:alignment vertical="center"/>
    </x:xf>
    <x:xf numFmtId="202" fontId="2" fillId="0" borderId="9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6" fillId="0" borderId="11" xfId="0" applyNumberFormat="1" applyFont="1" applyFill="1" applyBorder="1" applyAlignment="1">
      <x:alignment vertical="center"/>
    </x:xf>
    <x:xf numFmtId="0" fontId="6" fillId="0" borderId="12" xfId="0" applyNumberFormat="1" applyFont="1" applyFill="1" applyBorder="1" applyAlignment="1">
      <x:alignment vertical="center"/>
    </x:xf>
    <x:xf numFmtId="0" fontId="6" fillId="0" borderId="13" xfId="0" applyNumberFormat="1" applyFont="1" applyFill="1" applyBorder="1" applyAlignment="1">
      <x:alignment vertical="center"/>
    </x:xf>
    <x:xf numFmtId="200" fontId="6" fillId="0" borderId="12" xfId="0" applyNumberFormat="1" applyFont="1" applyFill="1" applyBorder="1" applyAlignment="1">
      <x:alignment vertical="center"/>
    </x:xf>
    <x:xf numFmtId="200" fontId="6" fillId="0" borderId="1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vertical="center"/>
    </x:xf>
    <x:xf numFmtId="200" fontId="6" fillId="0" borderId="4" xfId="0" applyNumberFormat="1" applyFont="1" applyFill="1" applyBorder="1" applyAlignment="1">
      <x:alignment vertical="center"/>
    </x:xf>
    <x:xf numFmtId="200" fontId="6" fillId="0" borderId="7" xfId="0" applyNumberFormat="1" applyFont="1" applyFill="1" applyBorder="1" applyAlignment="1">
      <x:alignment vertical="center"/>
    </x:xf>
    <x:xf numFmtId="200" fontId="6" fillId="0" borderId="1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2" fillId="0" borderId="2" xfId="0" applyNumberFormat="1" applyFont="1" applyFill="1" applyBorder="1" applyAlignment="1">
      <x:alignment horizontal="center" vertical="center"/>
    </x:xf>
    <x:xf numFmtId="0" fontId="2" fillId="0" borderId="5" xfId="0" applyNumberFormat="1" applyFont="1" applyFill="1" applyBorder="1" applyAlignment="1">
      <x:alignment horizontal="center" vertical="center"/>
    </x:xf>
    <x:xf numFmtId="0" fontId="2" fillId="0" borderId="8" xfId="0" applyNumberFormat="1" applyFont="1" applyFill="1" applyBorder="1" applyAlignment="1">
      <x:alignment horizontal="center" vertical="center"/>
    </x:xf>
    <x:xf numFmtId="0" fontId="2" fillId="0" borderId="2" xfId="0" applyNumberFormat="1" applyFont="1" applyFill="1" applyBorder="1" applyAlignment="1">
      <x:alignment vertical="top"/>
    </x:xf>
    <x:xf numFmtId="0" fontId="2" fillId="0" borderId="3" xfId="0" applyNumberFormat="1" applyFont="1" applyFill="1" applyBorder="1" applyAlignment="1">
      <x:alignment vertical="top"/>
    </x:xf>
    <x:xf numFmtId="0" fontId="2" fillId="0" borderId="5" xfId="0" applyNumberFormat="1" applyFont="1" applyFill="1" applyBorder="1" applyAlignment="1">
      <x:alignment vertical="top"/>
    </x:xf>
    <x:xf numFmtId="0" fontId="2" fillId="0" borderId="6" xfId="0" applyNumberFormat="1" applyFont="1" applyFill="1" applyBorder="1" applyAlignment="1">
      <x:alignment vertical="top"/>
    </x:xf>
    <x:xf numFmtId="0" fontId="2" fillId="0" borderId="8" xfId="0" applyNumberFormat="1" applyFont="1" applyFill="1" applyBorder="1" applyAlignment="1">
      <x:alignment vertical="top"/>
    </x:xf>
    <x:xf numFmtId="0" fontId="2" fillId="0" borderId="9" xfId="0" applyNumberFormat="1" applyFont="1" applyFill="1" applyBorder="1" applyAlignment="1">
      <x:alignment vertical="top"/>
    </x:xf>
    <x:xf numFmtId="0" fontId="2" fillId="0" borderId="4" xfId="0" applyNumberFormat="1" applyFont="1" applyFill="1" applyBorder="1" applyAlignment="1">
      <x:alignment vertical="top"/>
    </x:xf>
    <x:xf numFmtId="0" fontId="2" fillId="0" borderId="7" xfId="0" applyNumberFormat="1" applyFont="1" applyFill="1" applyBorder="1" applyAlignment="1">
      <x:alignment vertical="top"/>
    </x:xf>
    <x:xf numFmtId="0" fontId="2" fillId="0" borderId="10" xfId="0" applyNumberFormat="1" applyFont="1" applyFill="1" applyBorder="1" applyAlignment="1">
      <x:alignment vertical="top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fecd5120ff4373" /><Relationship Type="http://schemas.openxmlformats.org/officeDocument/2006/relationships/theme" Target="/xl/theme/theme1.xml" Id="Rae5d26f8e98b426d" /><Relationship Type="http://schemas.openxmlformats.org/officeDocument/2006/relationships/sharedStrings" Target="/xl/sharedStrings.xml" Id="R211eaf06a2bc4758" /><Relationship Type="http://schemas.openxmlformats.org/officeDocument/2006/relationships/worksheet" Target="/xl/worksheets/sheet1.xml" Id="Rbd5b99336e184342" /><Relationship Type="http://schemas.openxmlformats.org/officeDocument/2006/relationships/worksheet" Target="/xl/worksheets/sheet2.xml" Id="R448f7f48f85f4cf7" /><Relationship Type="http://schemas.openxmlformats.org/officeDocument/2006/relationships/worksheet" Target="/xl/worksheets/sheet3.xml" Id="R69c7502b66cc42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20" hidden="0" customWidth="1"/>
    <x:col min="4" max="4" width="11" hidden="0" customWidth="1"/>
    <x:col min="5" max="5" width="10" hidden="0" customWidth="1"/>
    <x:col min="6" max="6" width="10" hidden="0" customWidth="1"/>
    <x:col min="7" max="7" width="14" hidden="0" customWidth="1"/>
    <x:col min="8" max="8" width="14" hidden="0" customWidth="1"/>
    <x:col min="9" max="9" width="10" hidden="0" customWidth="1"/>
    <x:col min="10" max="10" width="16" hidden="0" customWidth="1"/>
    <x:col min="11" max="11" width="16" hidden="0" customWidth="1"/>
    <x:col min="12" max="12" width="12" hidden="0" customWidth="1"/>
  </x:cols>
  <x:sheetData>
    <x:row r="2" ht="22" customHeight="1">
      <x:c r="A2" s="1" t="str">
        <x:v>上下文压缩真实模型评估</x:v>
      </x:c>
    </x:row>
    <x:row r="3" ht="6" customHeight="1">
      <x:c r="A3" s="2"/>
      <x:c r="B3" s="2"/>
      <x:c r="C3" s="2"/>
      <x:c r="D3" s="2"/>
      <x:c r="E3" s="2"/>
      <x:c r="F3" s="2"/>
      <x:c r="G3" s="2"/>
      <x:c r="H3" s="2"/>
    </x:row>
    <x:row r="4">
      <x:c r="A4" s="5" t="str">
        <x:v>工作树</x:v>
      </x:c>
      <x:c r="B4" s="4" t="str">
        <x:v>feat-compact</x:v>
      </x:c>
    </x:row>
    <x:row r="5">
      <x:c r="A5" s="5" t="str">
        <x:v>评估对象</x:v>
      </x:c>
      <x:c r="B5" s="4" t="str">
        <x:v>service/agent/compress 上下文压缩中间件</x:v>
      </x:c>
    </x:row>
    <x:row r="6">
      <x:c r="A6" s="5" t="str">
        <x:v>摘要模型</x:v>
      </x:c>
      <x:c r="B6" s="4" t="str">
        <x:v>deepseek-flash @ https://api.deepseek.com</x:v>
      </x:c>
    </x:row>
    <x:row r="7">
      <x:c r="A7" s="5" t="str">
        <x:v>生成时间</x:v>
      </x:c>
      <x:c r="B7" s="4" t="str">
        <x:v>2026-09-29 01:17:10 (UTC+8)</x:v>
      </x:c>
    </x:row>
    <x:row r="8">
      <x:c r="A8" s="5" t="str">
        <x:v>token 口径</x:v>
      </x:c>
      <x:c r="B8" s="4" t="str">
        <x:v>估算 = runes/4+1（仅用于压缩前后对比）；真实 token 取自模型响应 usage</x:v>
      </x:c>
    </x:row>
    <x:row r="10" ht="20" customHeight="1">
      <x:c r="A10" s="8" t="str">
        <x:v>1 压缩成效（真实模型摘要）</x:v>
      </x:c>
      <x:c r="B10" s="8" t="str"/>
      <x:c r="C10" s="8" t="str"/>
      <x:c r="D10" s="8" t="str"/>
      <x:c r="E10" s="8" t="str"/>
      <x:c r="F10" s="8" t="str"/>
      <x:c r="G10" s="8" t="str"/>
      <x:c r="H10" s="8" t="str"/>
      <x:c r="I10" s="8" t="str"/>
      <x:c r="J10" s="8" t="str"/>
      <x:c r="K10" s="8" t="str"/>
      <x:c r="L10" s="8" t="str"/>
    </x:row>
    <x:row r="11">
      <x:c r="A11" s="13" t="str">
        <x:v>案例</x:v>
      </x:c>
      <x:c r="B11" s="13" t="str">
        <x:v>轮次</x:v>
      </x:c>
      <x:c r="C11" s="13" t="str">
        <x:v>单条 runes</x:v>
      </x:c>
      <x:c r="D11" s="13" t="str">
        <x:v>触发阈值</x:v>
      </x:c>
      <x:c r="E11" s="13" t="str">
        <x:v>消息数前</x:v>
      </x:c>
      <x:c r="F11" s="13" t="str">
        <x:v>消息数后</x:v>
      </x:c>
      <x:c r="G11" s="13" t="str">
        <x:v>估算 token 前</x:v>
      </x:c>
      <x:c r="H11" s="13" t="str">
        <x:v>估算 token 后</x:v>
      </x:c>
      <x:c r="I11" s="13" t="str">
        <x:v>压缩比</x:v>
      </x:c>
      <x:c r="J11" s="13" t="str">
        <x:v>真实 prompt tokens</x:v>
      </x:c>
      <x:c r="K11" s="13" t="str">
        <x:v>真实 completion tokens</x:v>
      </x:c>
      <x:c r="L11" s="13" t="str">
        <x:v>延迟 ms</x:v>
      </x:c>
      <x:c r="N11" s="34" t="str">
        <x:v>压缩比按估算口径：1 − 压缩后 ÷ 压缩前。</x:v>
      </x:c>
    </x:row>
    <x:row r="12">
      <x:c r="A12" s="14" t="str">
        <x:v>scale-6x2k</x:v>
      </x:c>
      <x:c r="B12" s="15" t="n">
        <x:v>6</x:v>
      </x:c>
      <x:c r="C12" s="15" t="n">
        <x:v>2000</x:v>
      </x:c>
      <x:c r="D12" s="15" t="n">
        <x:v>500</x:v>
      </x:c>
      <x:c r="E12" s="23" t="n">
        <x:v>20</x:v>
      </x:c>
      <x:c r="F12" s="23" t="n">
        <x:v>2</x:v>
      </x:c>
      <x:c r="G12" s="23" t="n">
        <x:v>4352</x:v>
      </x:c>
      <x:c r="H12" s="23" t="n">
        <x:v>672</x:v>
      </x:c>
      <x:c r="I12" s="26" t="n">
        <x:f>IF(G12=0,0,1-H12/G12)</x:f>
        <x:v>0.8455882352941176</x:v>
      </x:c>
      <x:c r="J12" s="23" t="n">
        <x:v>7140</x:v>
      </x:c>
      <x:c r="K12" s="23" t="n">
        <x:v>2483</x:v>
      </x:c>
      <x:c r="L12" s="29" t="n">
        <x:v>10871</x:v>
      </x:c>
      <x:c r="N12" s="34" t="str">
        <x:v>真实 token 是单次摘要调用实际上传 / 返回的 usage，含 system、全部历史与摘要指令。</x:v>
      </x:c>
    </x:row>
    <x:row r="13">
      <x:c r="A13" s="17" t="str">
        <x:v>scale-6x8k</x:v>
      </x:c>
      <x:c r="B13" s="18" t="n">
        <x:v>6</x:v>
      </x:c>
      <x:c r="C13" s="18" t="n">
        <x:v>8000</x:v>
      </x:c>
      <x:c r="D13" s="18" t="n">
        <x:v>500</x:v>
      </x:c>
      <x:c r="E13" s="24" t="n">
        <x:v>20</x:v>
      </x:c>
      <x:c r="F13" s="24" t="n">
        <x:v>2</x:v>
      </x:c>
      <x:c r="G13" s="24" t="n">
        <x:v>17172</x:v>
      </x:c>
      <x:c r="H13" s="24" t="n">
        <x:v>958</x:v>
      </x:c>
      <x:c r="I13" s="27" t="n">
        <x:f>IF(G13=0,0,1-H13/G13)</x:f>
        <x:v>0.9442115071045889</x:v>
      </x:c>
      <x:c r="J13" s="24" t="n">
        <x:v>26544</x:v>
      </x:c>
      <x:c r="K13" s="24" t="n">
        <x:v>2476</x:v>
      </x:c>
      <x:c r="L13" s="30" t="n">
        <x:v>11262</x:v>
      </x:c>
    </x:row>
    <x:row r="14">
      <x:c r="A14" s="20" t="str">
        <x:v>scale-12x8k</x:v>
      </x:c>
      <x:c r="B14" s="21" t="n">
        <x:v>12</x:v>
      </x:c>
      <x:c r="C14" s="21" t="n">
        <x:v>8000</x:v>
      </x:c>
      <x:c r="D14" s="21" t="n">
        <x:v>500</x:v>
      </x:c>
      <x:c r="E14" s="25" t="n">
        <x:v>38</x:v>
      </x:c>
      <x:c r="F14" s="25" t="n">
        <x:v>2</x:v>
      </x:c>
      <x:c r="G14" s="25" t="n">
        <x:v>34275</x:v>
      </x:c>
      <x:c r="H14" s="25" t="n">
        <x:v>709</x:v>
      </x:c>
      <x:c r="I14" s="28" t="n">
        <x:f>IF(G14=0,0,1-H14/G14)</x:f>
        <x:v>0.9793143690736689</x:v>
      </x:c>
      <x:c r="J14" s="25" t="n">
        <x:v>52812</x:v>
      </x:c>
      <x:c r="K14" s="25" t="n">
        <x:v>2054</x:v>
      </x:c>
      <x:c r="L14" s="31" t="n">
        <x:v>9624</x:v>
      </x:c>
    </x:row>
    <x:row r="16" ht="20" customHeight="1">
      <x:c r="A16" s="8" t="str">
        <x:v>2 关键事实保留率（压缩摘要文本中是否仍含关键标识符）</x:v>
      </x:c>
      <x:c r="B16" s="8" t="str"/>
      <x:c r="C16" s="8" t="str"/>
      <x:c r="D16" s="8" t="str"/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</x:row>
    <x:row r="17">
      <x:c r="A17" s="13" t="str">
        <x:v>案例</x:v>
      </x:c>
      <x:c r="B17" s="13" t="str">
        <x:v>保留率</x:v>
      </x:c>
      <x:c r="C17" s="13" t="str">
        <x:v>未保留的事实</x:v>
      </x:c>
    </x:row>
    <x:row r="18">
      <x:c r="A18" s="14" t="str">
        <x:v>scale-6x2k</x:v>
      </x:c>
      <x:c r="B18" s="35" t="n">
        <x:f>COUNTIF('调用明细'!$D$14:$D$18,"TRUE")/5</x:f>
        <x:v>1</x:v>
      </x:c>
      <x:c r="C18" s="16" t="str">
        <x:v>-</x:v>
      </x:c>
    </x:row>
    <x:row r="19">
      <x:c r="A19" s="17" t="str">
        <x:v>scale-6x8k</x:v>
      </x:c>
      <x:c r="B19" s="36" t="n">
        <x:f>COUNTIF('调用明细'!$D$14:$D$18,"TRUE")/5</x:f>
        <x:v>1</x:v>
      </x:c>
      <x:c r="C19" s="19" t="str">
        <x:v>-</x:v>
      </x:c>
    </x:row>
    <x:row r="20">
      <x:c r="A20" s="20" t="str">
        <x:v>scale-12x8k</x:v>
      </x:c>
      <x:c r="B20" s="37" t="n">
        <x:f>COUNTIF('调用明细'!$D$14:$D$18,"TRUE")/5</x:f>
        <x:v>1</x:v>
      </x:c>
      <x:c r="C20" s="22" t="str">
        <x:v>-</x:v>
      </x:c>
    </x:row>
    <x:row r="22" ht="20" customHeight="1">
      <x:c r="A22" s="8" t="str">
        <x:v>3 触发阈值行为</x:v>
      </x:c>
      <x:c r="B22" s="8" t="str"/>
      <x:c r="C22" s="8" t="str"/>
      <x:c r="D22" s="8" t="str"/>
      <x:c r="E22" s="8" t="str"/>
      <x:c r="F22" s="8" t="str"/>
      <x:c r="G22" s="8" t="str"/>
      <x:c r="H22" s="8" t="str"/>
      <x:c r="I22" s="8" t="str"/>
      <x:c r="J22" s="8" t="str"/>
      <x:c r="K22" s="8" t="str"/>
      <x:c r="L22" s="8" t="str"/>
    </x:row>
    <x:row r="23">
      <x:c r="A23" s="13" t="str">
        <x:v>案例</x:v>
      </x:c>
      <x:c r="B23" s="13" t="str">
        <x:v>阈值</x:v>
      </x:c>
      <x:c r="C23" s="13" t="str">
        <x:v>是否触发</x:v>
      </x:c>
      <x:c r="D23" s="13" t="str">
        <x:v>摘要调用次数</x:v>
      </x:c>
      <x:c r="E23" s="13" t="str">
        <x:v>估算 token 前</x:v>
      </x:c>
      <x:c r="F23" s="13" t="str">
        <x:v>估算 token 后</x:v>
      </x:c>
      <x:c r="H23" s="34" t="str">
        <x:v>同一份 10 轮 × 8k 历史：阈值 2000 触发压缩，阈值 100000 完全不动。</x:v>
      </x:c>
    </x:row>
    <x:row r="24">
      <x:c r="A24" s="14" t="str">
        <x:v>threshold-trigger-2000</x:v>
      </x:c>
      <x:c r="B24" s="23" t="n">
        <x:v>2000</x:v>
      </x:c>
      <x:c r="C24" s="38" t="str">
        <x:v>TRUE</x:v>
      </x:c>
      <x:c r="D24" s="23" t="n">
        <x:v>1</x:v>
      </x:c>
      <x:c r="E24" s="23" t="n">
        <x:v>28573</x:v>
      </x:c>
      <x:c r="F24" s="29" t="n">
        <x:v>854</x:v>
      </x:c>
    </x:row>
    <x:row r="25">
      <x:c r="A25" s="20" t="str">
        <x:v>threshold-skip-100000</x:v>
      </x:c>
      <x:c r="B25" s="25" t="n">
        <x:v>100000</x:v>
      </x:c>
      <x:c r="C25" s="39" t="str">
        <x:v>FALSE</x:v>
      </x:c>
      <x:c r="D25" s="25" t="n">
        <x:v>0</x:v>
      </x:c>
      <x:c r="E25" s="25" t="n">
        <x:v>28573</x:v>
      </x:c>
      <x:c r="F25" s="31" t="n">
        <x:v>28573</x:v>
      </x:c>
    </x:row>
    <x:row r="27" ht="20" customHeight="1">
      <x:c r="A27" s="8" t="str">
        <x:v>4 真实延迟分布（同形状重复 3 次）</x:v>
      </x:c>
      <x:c r="B27" s="8" t="str"/>
      <x:c r="C27" s="8" t="str"/>
      <x:c r="D27" s="8" t="str"/>
      <x:c r="E27" s="8" t="str"/>
      <x:c r="F27" s="8" t="str"/>
      <x:c r="G27" s="8" t="str"/>
      <x:c r="H27" s="8" t="str"/>
      <x:c r="I27" s="8" t="str"/>
      <x:c r="J27" s="8" t="str"/>
      <x:c r="K27" s="8" t="str"/>
      <x:c r="L27" s="8" t="str"/>
    </x:row>
    <x:row r="28">
      <x:c r="A28" s="13" t="str">
        <x:v>运行</x:v>
      </x:c>
      <x:c r="B28" s="13" t="str">
        <x:v>延迟 ms</x:v>
      </x:c>
      <x:c r="C28" s="13" t="str">
        <x:v>prompt tokens</x:v>
      </x:c>
      <x:c r="D28" s="13" t="str">
        <x:v>completion tokens</x:v>
      </x:c>
      <x:c r="E28" s="13" t="str">
        <x:v>reasoning tokens</x:v>
      </x:c>
      <x:c r="F28" s="13" t="str">
        <x:v>total tokens</x:v>
      </x:c>
    </x:row>
    <x:row r="29">
      <x:c r="A29" s="14" t="str">
        <x:v>latency-6x8k-run1</x:v>
      </x:c>
      <x:c r="B29" s="23" t="n">
        <x:v>13485</x:v>
      </x:c>
      <x:c r="C29" s="23" t="n">
        <x:v>26544</x:v>
      </x:c>
      <x:c r="D29" s="23" t="n">
        <x:v>3005</x:v>
      </x:c>
      <x:c r="E29" s="23" t="n">
        <x:v>1834</x:v>
      </x:c>
      <x:c r="F29" s="29" t="n">
        <x:v>29549</x:v>
      </x:c>
    </x:row>
    <x:row r="30">
      <x:c r="A30" s="17" t="str">
        <x:v>latency-6x8k-run2</x:v>
      </x:c>
      <x:c r="B30" s="24" t="n">
        <x:v>8358</x:v>
      </x:c>
      <x:c r="C30" s="24" t="n">
        <x:v>26544</x:v>
      </x:c>
      <x:c r="D30" s="24" t="n">
        <x:v>1769</x:v>
      </x:c>
      <x:c r="E30" s="24" t="n">
        <x:v>560</x:v>
      </x:c>
      <x:c r="F30" s="30" t="n">
        <x:v>28313</x:v>
      </x:c>
    </x:row>
    <x:row r="31">
      <x:c r="A31" s="20" t="str">
        <x:v>latency-6x8k-run3</x:v>
      </x:c>
      <x:c r="B31" s="25" t="n">
        <x:v>7399</x:v>
      </x:c>
      <x:c r="C31" s="25" t="n">
        <x:v>26544</x:v>
      </x:c>
      <x:c r="D31" s="25" t="n">
        <x:v>1637</x:v>
      </x:c>
      <x:c r="E31" s="25" t="n">
        <x:v>367</x:v>
      </x:c>
      <x:c r="F31" s="31" t="n">
        <x:v>28181</x:v>
      </x:c>
    </x:row>
    <x:row r="32">
      <x:c r="A32" s="43" t="str">
        <x:v>平均</x:v>
      </x:c>
      <x:c r="B32" s="46" t="n">
        <x:f>AVERAGE(B29:B31)</x:f>
        <x:v>9747.333333333334</x:v>
      </x:c>
      <x:c r="C32" s="46" t="n">
        <x:f>AVERAGE(C29:C31)</x:f>
        <x:v>26544</x:v>
      </x:c>
      <x:c r="D32" s="46" t="n">
        <x:f>AVERAGE(D29:D31)</x:f>
        <x:v>2137</x:v>
      </x:c>
      <x:c r="E32" s="46" t="n">
        <x:f>AVERAGE(E29:E31)</x:f>
        <x:v>920.3333333333334</x:v>
      </x:c>
      <x:c r="F32" s="47" t="n">
        <x:f>AVERAGE(F29:F31)</x:f>
        <x:v>28681</x:v>
      </x:c>
    </x:row>
    <x:row r="34" ht="20" customHeight="1">
      <x:c r="A34" s="8" t="str">
        <x:v>5 端到端问答保真（scale-12x8k：完整历史 vs 压缩后上下文）</x:v>
      </x:c>
      <x:c r="B34" s="8" t="str"/>
      <x:c r="C34" s="8" t="str"/>
      <x:c r="D34" s="8" t="str"/>
      <x:c r="E34" s="8" t="str"/>
      <x:c r="F34" s="8" t="str"/>
      <x:c r="G34" s="8" t="str"/>
      <x:c r="H34" s="8" t="str"/>
      <x:c r="I34" s="8" t="str"/>
      <x:c r="J34" s="8" t="str"/>
      <x:c r="K34" s="8" t="str"/>
      <x:c r="L34" s="8" t="str"/>
    </x:row>
    <x:row r="35">
      <x:c r="A35" s="13" t="str">
        <x:v>事实</x:v>
      </x:c>
      <x:c r="B35" s="13" t="str">
        <x:v>类型</x:v>
      </x:c>
      <x:c r="C35" s="13" t="str">
        <x:v>关键词</x:v>
      </x:c>
      <x:c r="D35" s="13" t="str">
        <x:v>完整历史答对</x:v>
      </x:c>
      <x:c r="E35" s="13" t="str">
        <x:v>压缩后答对</x:v>
      </x:c>
      <x:c r="G35" s="34" t="str">
        <x:v>判定口径：回答文本出现该关键词即算答对，不做语义评分；原始回答见「回答原文」。</x:v>
      </x:c>
    </x:row>
    <x:row r="36">
      <x:c r="A36" s="14" t="str">
        <x:v>path</x:v>
      </x:c>
      <x:c r="B36" s="15" t="str">
        <x:v>证据位置</x:v>
      </x:c>
      <x:c r="C36" s="15" t="str">
        <x:v>chunker.go</x:v>
      </x:c>
      <x:c r="D36" s="38" t="str">
        <x:v>TRUE</x:v>
      </x:c>
      <x:c r="E36" s="48" t="str">
        <x:v>TRUE</x:v>
      </x:c>
      <x:c r="G36" s="34" t="str">
        <x:v>本例压缩后漏掉 symbol（NewMilvus）：摘要留住了结论关键词，但该次回答改为要求重新读取文件。</x:v>
      </x:c>
    </x:row>
    <x:row r="37">
      <x:c r="A37" s="17" t="str">
        <x:v>symbol</x:v>
      </x:c>
      <x:c r="B37" s="18" t="str">
        <x:v>符号名</x:v>
      </x:c>
      <x:c r="C37" s="18" t="str">
        <x:v>NewMilvus</x:v>
      </x:c>
      <x:c r="D37" s="49" t="str">
        <x:v>TRUE</x:v>
      </x:c>
      <x:c r="E37" s="50" t="str">
        <x:v>FALSE</x:v>
      </x:c>
    </x:row>
    <x:row r="38">
      <x:c r="A38" s="17" t="str">
        <x:v>fuse</x:v>
      </x:c>
      <x:c r="B38" s="18" t="str">
        <x:v>决策</x:v>
      </x:c>
      <x:c r="C38" s="18" t="str">
        <x:v>RRF</x:v>
      </x:c>
      <x:c r="D38" s="49" t="str">
        <x:v>TRUE</x:v>
      </x:c>
      <x:c r="E38" s="50" t="str">
        <x:v>TRUE</x:v>
      </x:c>
    </x:row>
    <x:row r="39">
      <x:c r="A39" s="17" t="str">
        <x:v>collection</x:v>
      </x:c>
      <x:c r="B39" s="18" t="str">
        <x:v>标识符</x:v>
      </x:c>
      <x:c r="C39" s="18" t="str">
        <x:v>p1c6a6a726a49c9a8</x:v>
      </x:c>
      <x:c r="D39" s="49" t="str">
        <x:v>TRUE</x:v>
      </x:c>
      <x:c r="E39" s="50" t="str">
        <x:v>TRUE</x:v>
      </x:c>
    </x:row>
    <x:row r="40">
      <x:c r="A40" s="20" t="str">
        <x:v>dim</x:v>
      </x:c>
      <x:c r="B40" s="21" t="str">
        <x:v>数值</x:v>
      </x:c>
      <x:c r="C40" s="21" t="str">
        <x:v>2048</x:v>
      </x:c>
      <x:c r="D40" s="39" t="str">
        <x:v>TRUE</x:v>
      </x:c>
      <x:c r="E40" s="51" t="str">
        <x:v>TRUE</x:v>
      </x:c>
    </x:row>
    <x:row r="41">
      <x:c r="A41" s="43" t="str">
        <x:v>答对合计</x:v>
      </x:c>
      <x:c r="B41" s="44" t="str"/>
      <x:c r="C41" s="44" t="str"/>
      <x:c r="D41" s="44" t="str">
        <x:f>COUNTIF(D36:D40,"TRUE")&amp;" / "&amp;COUNTA(D36:D40)</x:f>
        <x:v>5 / 5</x:v>
      </x:c>
      <x:c r="E41" s="45" t="str">
        <x:f>COUNTIF(E36:E40,"TRUE")&amp;" / "&amp;COUNTA(E36:E40)</x:f>
        <x:v>4 / 5</x:v>
      </x:c>
    </x:row>
    <x:row r="43" ht="20" customHeight="1">
      <x:c r="A43" s="8" t="str">
        <x:v>6 真实用量合计</x:v>
      </x:c>
      <x:c r="B43" s="8" t="str"/>
      <x:c r="C43" s="8" t="str"/>
      <x:c r="D43" s="8" t="str"/>
      <x:c r="E43" s="8" t="str"/>
      <x:c r="F43" s="8" t="str"/>
      <x:c r="G43" s="8" t="str"/>
      <x:c r="H43" s="8" t="str"/>
      <x:c r="I43" s="8" t="str"/>
      <x:c r="J43" s="8" t="str"/>
      <x:c r="K43" s="8" t="str"/>
      <x:c r="L43" s="8" t="str"/>
    </x:row>
    <x:row r="44">
      <x:c r="A44" s="13" t="str">
        <x:v>指标</x:v>
      </x:c>
      <x:c r="B44" s="13" t="str">
        <x:v>值</x:v>
      </x:c>
      <x:c r="D44" s="34" t="str">
        <x:v>前五行由「调用明细」台账汇总；墙钟耗时为整轮评估端到端时长，非各调用之和。</x:v>
      </x:c>
    </x:row>
    <x:row r="45">
      <x:c r="A45" s="14" t="str">
        <x:v>真实模型调用次数</x:v>
      </x:c>
      <x:c r="B45" s="55" t="n">
        <x:f>SUM('调用明细'!D3:D10)</x:f>
        <x:v>18</x:v>
      </x:c>
    </x:row>
    <x:row r="46">
      <x:c r="A46" s="17" t="str">
        <x:v>prompt tokens</x:v>
      </x:c>
      <x:c r="B46" s="56" t="n">
        <x:f>SUM('调用明细'!G3:G10)</x:f>
        <x:v>533510</x:v>
      </x:c>
    </x:row>
    <x:row r="47">
      <x:c r="A47" s="17" t="str">
        <x:v>completion tokens</x:v>
      </x:c>
      <x:c r="B47" s="56" t="n">
        <x:f>SUM('调用明细'!H3:H10)</x:f>
        <x:v>22242</x:v>
      </x:c>
    </x:row>
    <x:row r="48">
      <x:c r="A48" s="17" t="str">
        <x:v>其中 reasoning tokens</x:v>
      </x:c>
      <x:c r="B48" s="56" t="n">
        <x:f>SUM('调用明细'!I3:I10)</x:f>
        <x:v>9837</x:v>
      </x:c>
    </x:row>
    <x:row r="49">
      <x:c r="A49" s="17" t="str">
        <x:v>total tokens</x:v>
      </x:c>
      <x:c r="B49" s="56" t="n">
        <x:f>SUM('调用明细'!J3:J10)</x:f>
        <x:v>555752</x:v>
      </x:c>
    </x:row>
    <x:row r="50">
      <x:c r="A50" s="20" t="str">
        <x:v>墙钟耗时 ms</x:v>
      </x:c>
      <x:c r="B50" s="57" t="n">
        <x:f>103737</x:f>
        <x:v>103737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6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0" hidden="0" customWidth="1"/>
    <x:col min="12" max="12" width="11" hidden="0" customWidth="1"/>
    <x:col min="13" max="13" width="32" hidden="0" customWidth="1"/>
  </x:cols>
  <x:sheetData>
    <x:row r="1">
      <x:c r="A1" s="58" t="str">
        <x:v>真实模型调用台账</x:v>
      </x:c>
    </x:row>
    <x:row r="2">
      <x:c r="A2" s="13" t="str">
        <x:v>序号</x:v>
      </x:c>
      <x:c r="B2" s="13" t="str">
        <x:v>阶段</x:v>
      </x:c>
      <x:c r="C2" s="13" t="str">
        <x:v>案例</x:v>
      </x:c>
      <x:c r="D2" s="13" t="str">
        <x:v>调用次数</x:v>
      </x:c>
      <x:c r="E2" s="13" t="str">
        <x:v>输入消息数</x:v>
      </x:c>
      <x:c r="F2" s="13" t="str">
        <x:v>估算输入 tokens</x:v>
      </x:c>
      <x:c r="G2" s="13" t="str">
        <x:v>真实 prompt tokens</x:v>
      </x:c>
      <x:c r="H2" s="13" t="str">
        <x:v>真实 completion tokens</x:v>
      </x:c>
      <x:c r="I2" s="13" t="str">
        <x:v>真实 reasoning tokens</x:v>
      </x:c>
      <x:c r="J2" s="13" t="str">
        <x:v>真实 total tokens</x:v>
      </x:c>
      <x:c r="K2" s="13" t="str">
        <x:v>延迟 ms</x:v>
      </x:c>
      <x:c r="L2" s="13" t="str">
        <x:v>完成原因</x:v>
      </x:c>
      <x:c r="M2" s="13" t="str">
        <x:v>备注</x:v>
      </x:c>
    </x:row>
    <x:row r="3">
      <x:c r="A3" s="59" t="n">
        <x:v>1</x:v>
      </x:c>
      <x:c r="B3" s="15" t="str">
        <x:v>压缩成效</x:v>
      </x:c>
      <x:c r="C3" s="15" t="str">
        <x:v>scale-6x2k</x:v>
      </x:c>
      <x:c r="D3" s="23" t="n">
        <x:v>1</x:v>
      </x:c>
      <x:c r="E3" s="23" t="n">
        <x:v>21</x:v>
      </x:c>
      <x:c r="F3" s="23" t="n">
        <x:v>4405</x:v>
      </x:c>
      <x:c r="G3" s="23" t="n">
        <x:v>7140</x:v>
      </x:c>
      <x:c r="H3" s="23" t="n">
        <x:v>2483</x:v>
      </x:c>
      <x:c r="I3" s="23" t="n">
        <x:v>1219</x:v>
      </x:c>
      <x:c r="J3" s="23" t="n">
        <x:v>9623</x:v>
      </x:c>
      <x:c r="K3" s="23" t="n">
        <x:v>10868</x:v>
      </x:c>
      <x:c r="L3" s="38" t="str">
        <x:v>stop</x:v>
      </x:c>
      <x:c r="M3" s="16" t="str">
        <x:v>压缩摘要调用</x:v>
      </x:c>
    </x:row>
    <x:row r="4">
      <x:c r="A4" s="60" t="n">
        <x:v>2</x:v>
      </x:c>
      <x:c r="B4" s="18" t="str">
        <x:v>压缩成效</x:v>
      </x:c>
      <x:c r="C4" s="18" t="str">
        <x:v>scale-6x8k</x:v>
      </x:c>
      <x:c r="D4" s="24" t="n">
        <x:v>1</x:v>
      </x:c>
      <x:c r="E4" s="24" t="n">
        <x:v>21</x:v>
      </x:c>
      <x:c r="F4" s="24" t="n">
        <x:v>17225</x:v>
      </x:c>
      <x:c r="G4" s="24" t="n">
        <x:v>26544</x:v>
      </x:c>
      <x:c r="H4" s="24" t="n">
        <x:v>2476</x:v>
      </x:c>
      <x:c r="I4" s="24" t="n">
        <x:v>549</x:v>
      </x:c>
      <x:c r="J4" s="24" t="n">
        <x:v>29020</x:v>
      </x:c>
      <x:c r="K4" s="24" t="n">
        <x:v>11260</x:v>
      </x:c>
      <x:c r="L4" s="49" t="str">
        <x:v>stop</x:v>
      </x:c>
      <x:c r="M4" s="19" t="str">
        <x:v>压缩摘要调用</x:v>
      </x:c>
    </x:row>
    <x:row r="5">
      <x:c r="A5" s="60" t="n">
        <x:v>3</x:v>
      </x:c>
      <x:c r="B5" s="18" t="str">
        <x:v>压缩成效</x:v>
      </x:c>
      <x:c r="C5" s="18" t="str">
        <x:v>scale-12x8k</x:v>
      </x:c>
      <x:c r="D5" s="24" t="n">
        <x:v>1</x:v>
      </x:c>
      <x:c r="E5" s="24" t="n">
        <x:v>39</x:v>
      </x:c>
      <x:c r="F5" s="24" t="n">
        <x:v>34328</x:v>
      </x:c>
      <x:c r="G5" s="24" t="n">
        <x:v>52812</x:v>
      </x:c>
      <x:c r="H5" s="24" t="n">
        <x:v>2054</x:v>
      </x:c>
      <x:c r="I5" s="24" t="n">
        <x:v>732</x:v>
      </x:c>
      <x:c r="J5" s="24" t="n">
        <x:v>54866</x:v>
      </x:c>
      <x:c r="K5" s="24" t="n">
        <x:v>9614</x:v>
      </x:c>
      <x:c r="L5" s="49" t="str">
        <x:v>stop</x:v>
      </x:c>
      <x:c r="M5" s="19" t="str">
        <x:v>压缩摘要调用</x:v>
      </x:c>
    </x:row>
    <x:row r="6">
      <x:c r="A6" s="60" t="n">
        <x:v>4</x:v>
      </x:c>
      <x:c r="B6" s="18" t="str">
        <x:v>触发阈值</x:v>
      </x:c>
      <x:c r="C6" s="18" t="str">
        <x:v>threshold-trigger-2000</x:v>
      </x:c>
      <x:c r="D6" s="24" t="n">
        <x:v>1</x:v>
      </x:c>
      <x:c r="E6" s="24" t="n">
        <x:v>33</x:v>
      </x:c>
      <x:c r="F6" s="24" t="n">
        <x:v>28626</x:v>
      </x:c>
      <x:c r="G6" s="24" t="n">
        <x:v>44056</x:v>
      </x:c>
      <x:c r="H6" s="24" t="n">
        <x:v>2057</x:v>
      </x:c>
      <x:c r="I6" s="24" t="n">
        <x:v>435</x:v>
      </x:c>
      <x:c r="J6" s="24" t="n">
        <x:v>46113</x:v>
      </x:c>
      <x:c r="K6" s="24" t="n">
        <x:v>8547</x:v>
      </x:c>
      <x:c r="L6" s="49" t="str">
        <x:v>stop</x:v>
      </x:c>
      <x:c r="M6" s="19" t="str">
        <x:v>压缩摘要调用</x:v>
      </x:c>
    </x:row>
    <x:row r="7">
      <x:c r="A7" s="60" t="n">
        <x:v>5</x:v>
      </x:c>
      <x:c r="B7" s="18" t="str">
        <x:v>延迟重复</x:v>
      </x:c>
      <x:c r="C7" s="18" t="str">
        <x:v>latency-6x8k-run1</x:v>
      </x:c>
      <x:c r="D7" s="24" t="n">
        <x:v>1</x:v>
      </x:c>
      <x:c r="E7" s="24" t="n">
        <x:v>21</x:v>
      </x:c>
      <x:c r="F7" s="24" t="n">
        <x:v>17225</x:v>
      </x:c>
      <x:c r="G7" s="24" t="n">
        <x:v>26544</x:v>
      </x:c>
      <x:c r="H7" s="24" t="n">
        <x:v>3005</x:v>
      </x:c>
      <x:c r="I7" s="24" t="n">
        <x:v>1834</x:v>
      </x:c>
      <x:c r="J7" s="24" t="n">
        <x:v>29549</x:v>
      </x:c>
      <x:c r="K7" s="24" t="n">
        <x:v>13484</x:v>
      </x:c>
      <x:c r="L7" s="49" t="str">
        <x:v>stop</x:v>
      </x:c>
      <x:c r="M7" s="19" t="str">
        <x:v>压缩摘要调用</x:v>
      </x:c>
    </x:row>
    <x:row r="8">
      <x:c r="A8" s="60" t="n">
        <x:v>6</x:v>
      </x:c>
      <x:c r="B8" s="18" t="str">
        <x:v>延迟重复</x:v>
      </x:c>
      <x:c r="C8" s="18" t="str">
        <x:v>latency-6x8k-run2</x:v>
      </x:c>
      <x:c r="D8" s="24" t="n">
        <x:v>1</x:v>
      </x:c>
      <x:c r="E8" s="24" t="n">
        <x:v>21</x:v>
      </x:c>
      <x:c r="F8" s="24" t="n">
        <x:v>17225</x:v>
      </x:c>
      <x:c r="G8" s="24" t="n">
        <x:v>26544</x:v>
      </x:c>
      <x:c r="H8" s="24" t="n">
        <x:v>1769</x:v>
      </x:c>
      <x:c r="I8" s="24" t="n">
        <x:v>560</x:v>
      </x:c>
      <x:c r="J8" s="24" t="n">
        <x:v>28313</x:v>
      </x:c>
      <x:c r="K8" s="24" t="n">
        <x:v>8358</x:v>
      </x:c>
      <x:c r="L8" s="49" t="str">
        <x:v>stop</x:v>
      </x:c>
      <x:c r="M8" s="19" t="str">
        <x:v>压缩摘要调用</x:v>
      </x:c>
    </x:row>
    <x:row r="9">
      <x:c r="A9" s="60" t="n">
        <x:v>7</x:v>
      </x:c>
      <x:c r="B9" s="18" t="str">
        <x:v>延迟重复</x:v>
      </x:c>
      <x:c r="C9" s="18" t="str">
        <x:v>latency-6x8k-run3</x:v>
      </x:c>
      <x:c r="D9" s="24" t="n">
        <x:v>1</x:v>
      </x:c>
      <x:c r="E9" s="24" t="n">
        <x:v>21</x:v>
      </x:c>
      <x:c r="F9" s="24" t="n">
        <x:v>17225</x:v>
      </x:c>
      <x:c r="G9" s="24" t="n">
        <x:v>26544</x:v>
      </x:c>
      <x:c r="H9" s="24" t="n">
        <x:v>1637</x:v>
      </x:c>
      <x:c r="I9" s="24" t="n">
        <x:v>367</x:v>
      </x:c>
      <x:c r="J9" s="24" t="n">
        <x:v>28181</x:v>
      </x:c>
      <x:c r="K9" s="24" t="n">
        <x:v>7399</x:v>
      </x:c>
      <x:c r="L9" s="49" t="str">
        <x:v>stop</x:v>
      </x:c>
      <x:c r="M9" s="19" t="str">
        <x:v>压缩摘要调用</x:v>
      </x:c>
    </x:row>
    <x:row r="10">
      <x:c r="A10" s="61" t="n">
        <x:v>8</x:v>
      </x:c>
      <x:c r="B10" s="21" t="str">
        <x:v>端到端问答</x:v>
      </x:c>
      <x:c r="C10" s="21" t="str">
        <x:v>scale-12x8k（5 问 × 2 臂）</x:v>
      </x:c>
      <x:c r="D10" s="25" t="n">
        <x:v>11</x:v>
      </x:c>
      <x:c r="E10" s="25" t="str"/>
      <x:c r="F10" s="25" t="str"/>
      <x:c r="G10" s="25" t="n">
        <x:v>323326</x:v>
      </x:c>
      <x:c r="H10" s="25" t="n">
        <x:v>6761</x:v>
      </x:c>
      <x:c r="I10" s="25" t="n">
        <x:v>4141</x:v>
      </x:c>
      <x:c r="J10" s="25" t="n">
        <x:v>330087</x:v>
      </x:c>
      <x:c r="K10" s="25" t="n">
        <x:v>34150</x:v>
      </x:c>
      <x:c r="L10" s="39" t="str"/>
      <x:c r="M10" s="22" t="str">
        <x:v>含 1 次压缩 + 10 次问答；reasoning 由总量残差推算</x:v>
      </x:c>
    </x:row>
    <x:row r="12">
      <x:c r="A12" s="58" t="str">
        <x:v>关键事实在压缩摘要中的保留情况</x:v>
      </x:c>
    </x:row>
    <x:row r="13">
      <x:c r="A13" s="13" t="str">
        <x:v>事实</x:v>
      </x:c>
      <x:c r="B13" s="13" t="str">
        <x:v>类型</x:v>
      </x:c>
      <x:c r="C13" s="13" t="str">
        <x:v>关键词</x:v>
      </x:c>
      <x:c r="D13" s="13" t="str">
        <x:v>scale-6x2k</x:v>
      </x:c>
      <x:c r="E13" s="13" t="str">
        <x:v>scale-6x8k</x:v>
      </x:c>
      <x:c r="F13" s="13" t="str">
        <x:v>scale-12x8k</x:v>
      </x:c>
    </x:row>
    <x:row r="14">
      <x:c r="A14" s="14" t="str">
        <x:v>path</x:v>
      </x:c>
      <x:c r="B14" s="15" t="str">
        <x:v>证据位置</x:v>
      </x:c>
      <x:c r="C14" s="15" t="str">
        <x:v>chunker.go</x:v>
      </x:c>
      <x:c r="D14" s="15" t="str">
        <x:v>TRUE</x:v>
      </x:c>
      <x:c r="E14" s="15" t="str">
        <x:v>TRUE</x:v>
      </x:c>
      <x:c r="F14" s="16" t="str">
        <x:v>TRUE</x:v>
      </x:c>
    </x:row>
    <x:row r="15">
      <x:c r="A15" s="17" t="str">
        <x:v>symbol</x:v>
      </x:c>
      <x:c r="B15" s="18" t="str">
        <x:v>符号名</x:v>
      </x:c>
      <x:c r="C15" s="18" t="str">
        <x:v>NewMilvus</x:v>
      </x:c>
      <x:c r="D15" s="18" t="str">
        <x:v>TRUE</x:v>
      </x:c>
      <x:c r="E15" s="18" t="str">
        <x:v>TRUE</x:v>
      </x:c>
      <x:c r="F15" s="19" t="str">
        <x:v>TRUE</x:v>
      </x:c>
    </x:row>
    <x:row r="16">
      <x:c r="A16" s="17" t="str">
        <x:v>fuse</x:v>
      </x:c>
      <x:c r="B16" s="18" t="str">
        <x:v>决策</x:v>
      </x:c>
      <x:c r="C16" s="18" t="str">
        <x:v>RRF</x:v>
      </x:c>
      <x:c r="D16" s="18" t="str">
        <x:v>TRUE</x:v>
      </x:c>
      <x:c r="E16" s="18" t="str">
        <x:v>TRUE</x:v>
      </x:c>
      <x:c r="F16" s="19" t="str">
        <x:v>TRUE</x:v>
      </x:c>
    </x:row>
    <x:row r="17">
      <x:c r="A17" s="17" t="str">
        <x:v>collection</x:v>
      </x:c>
      <x:c r="B17" s="18" t="str">
        <x:v>标识符</x:v>
      </x:c>
      <x:c r="C17" s="18" t="str">
        <x:v>p1c6a6a726a49c9a8</x:v>
      </x:c>
      <x:c r="D17" s="18" t="str">
        <x:v>TRUE</x:v>
      </x:c>
      <x:c r="E17" s="18" t="str">
        <x:v>TRUE</x:v>
      </x:c>
      <x:c r="F17" s="19" t="str">
        <x:v>TRUE</x:v>
      </x:c>
    </x:row>
    <x:row r="18">
      <x:c r="A18" s="20" t="str">
        <x:v>dim</x:v>
      </x:c>
      <x:c r="B18" s="21" t="str">
        <x:v>数值</x:v>
      </x:c>
      <x:c r="C18" s="21" t="str">
        <x:v>2048</x:v>
      </x:c>
      <x:c r="D18" s="21" t="str">
        <x:v>TRUE</x:v>
      </x:c>
      <x:c r="E18" s="21" t="str">
        <x:v>TRUE</x:v>
      </x:c>
      <x:c r="F18" s="22" t="str">
        <x:v>TRUE</x:v>
      </x:c>
    </x:row>
    <x:row r="20">
      <x:c r="A20" s="58" t="str">
        <x:v>端到端问答明细</x:v>
      </x:c>
    </x:row>
    <x:row r="21">
      <x:c r="A21" s="13" t="str">
        <x:v>事实</x:v>
      </x:c>
      <x:c r="B21" s="13" t="str">
        <x:v>类型</x:v>
      </x:c>
      <x:c r="C21" s="13" t="str">
        <x:v>关键词</x:v>
      </x:c>
      <x:c r="D21" s="13" t="str">
        <x:v>完整历史答对</x:v>
      </x:c>
      <x:c r="E21" s="13" t="str">
        <x:v>压缩后答对</x:v>
      </x:c>
    </x:row>
    <x:row r="22">
      <x:c r="A22" s="14" t="str">
        <x:v>path</x:v>
      </x:c>
      <x:c r="B22" s="15" t="str">
        <x:v>证据位置</x:v>
      </x:c>
      <x:c r="C22" s="15" t="str">
        <x:v>chunker.go</x:v>
      </x:c>
      <x:c r="D22" s="15" t="str">
        <x:v>TRUE</x:v>
      </x:c>
      <x:c r="E22" s="16" t="str">
        <x:v>TRUE</x:v>
      </x:c>
    </x:row>
    <x:row r="23">
      <x:c r="A23" s="17" t="str">
        <x:v>symbol</x:v>
      </x:c>
      <x:c r="B23" s="18" t="str">
        <x:v>符号名</x:v>
      </x:c>
      <x:c r="C23" s="18" t="str">
        <x:v>NewMilvus</x:v>
      </x:c>
      <x:c r="D23" s="18" t="str">
        <x:v>TRUE</x:v>
      </x:c>
      <x:c r="E23" s="19" t="str">
        <x:v>FALSE</x:v>
      </x:c>
    </x:row>
    <x:row r="24">
      <x:c r="A24" s="17" t="str">
        <x:v>fuse</x:v>
      </x:c>
      <x:c r="B24" s="18" t="str">
        <x:v>决策</x:v>
      </x:c>
      <x:c r="C24" s="18" t="str">
        <x:v>RRF</x:v>
      </x:c>
      <x:c r="D24" s="18" t="str">
        <x:v>TRUE</x:v>
      </x:c>
      <x:c r="E24" s="19" t="str">
        <x:v>TRUE</x:v>
      </x:c>
    </x:row>
    <x:row r="25">
      <x:c r="A25" s="17" t="str">
        <x:v>collection</x:v>
      </x:c>
      <x:c r="B25" s="18" t="str">
        <x:v>标识符</x:v>
      </x:c>
      <x:c r="C25" s="18" t="str">
        <x:v>p1c6a6a726a49c9a8</x:v>
      </x:c>
      <x:c r="D25" s="18" t="str">
        <x:v>TRUE</x:v>
      </x:c>
      <x:c r="E25" s="19" t="str">
        <x:v>TRUE</x:v>
      </x:c>
    </x:row>
    <x:row r="26">
      <x:c r="A26" s="20" t="str">
        <x:v>dim</x:v>
      </x:c>
      <x:c r="B26" s="21" t="str">
        <x:v>数值</x:v>
      </x:c>
      <x:c r="C26" s="21" t="str">
        <x:v>2048</x:v>
      </x:c>
      <x:c r="D26" s="21" t="str">
        <x:v>TRUE</x:v>
      </x:c>
      <x:c r="E26" s="22" t="str">
        <x:v>TRUE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34" hidden="0" customWidth="1"/>
    <x:col min="4" max="4" width="14" hidden="0" customWidth="1"/>
    <x:col min="5" max="5" width="96" hidden="0" customWidth="1"/>
  </x:cols>
  <x:sheetData>
    <x:row r="1">
      <x:c r="A1" s="58" t="str">
        <x:v>端到端问答原文（同一模型、同一问题，两臂上下文不同）</x:v>
      </x:c>
    </x:row>
    <x:row r="2">
      <x:c r="A2" s="13" t="str">
        <x:v>事实</x:v>
      </x:c>
      <x:c r="B2" s="13" t="str">
        <x:v>类型</x:v>
      </x:c>
      <x:c r="C2" s="13" t="str">
        <x:v>问题</x:v>
      </x:c>
      <x:c r="D2" s="13" t="str">
        <x:v>上下文臂</x:v>
      </x:c>
      <x:c r="E2" s="13" t="str">
        <x:v>模型回答</x:v>
      </x:c>
    </x:row>
    <x:row r="3" ht="84.75" customHeight="1">
      <x:c r="A3" s="62" t="str">
        <x:v>path</x:v>
      </x:c>
      <x:c r="B3" s="63" t="str">
        <x:v>证据位置</x:v>
      </x:c>
      <x:c r="C3" s="71" t="str">
        <x:v>符号级切分（chunker）的实现落在哪个文件？</x:v>
      </x:c>
      <x:c r="D3" s="63" t="str">
        <x:v>完整历史</x:v>
      </x:c>
      <x:c r="E3" s="74" t="str">
        <x:v>- 无法确认：本轮读取 `module-2.go` 只返回重复的占位行 `func Handler() { /* 实现细节 */ }`，没有任何真实路径、行号或 `chunker` 相关标识符可供核验。
- 唯一出现过的候选标识是 `service/rag/chunker.go:42`，但它来自我上一轮凭空的陈述，并非工具读取结果，不能作为结论。
- 结论：符号级切分（`chunker`）的实现文件在当前证据下**未被定位**。</x:v>
      </x:c>
    </x:row>
    <x:row r="4" ht="96" customHeight="1">
      <x:c r="A4" s="64" t="str">
        <x:v>path</x:v>
      </x:c>
      <x:c r="B4" s="65" t="str">
        <x:v>证据位置</x:v>
      </x:c>
      <x:c r="C4" s="72" t="str">
        <x:v>符号级切分（chunker）的实现落在哪个文件？</x:v>
      </x:c>
      <x:c r="D4" s="65" t="str">
        <x:v>压缩后上下文</x:v>
      </x:c>
      <x:c r="E4" s="75" t="str">
        <x:v>- 无可核实落点：module-1.go ~ module-12.go 的 12 次读取仅返回占位符 `func Handler() { /* 实现细节 */ }`，无任何 chunker 实现行。
- 唯一被提及的位置（未验证）：`service/rag/chunker.go` 第 42 行，关键标识符 `Chunker` / 符号级切分 —— 该文件**从未被读取**，无行号证据。
- 结论：目前无法确认符号级切分（chunker）的实现文件；须先读取 `service/rag/chunker.go` 并取得真实行号。</x:v>
      </x:c>
    </x:row>
    <x:row r="5" ht="141" customHeight="1">
      <x:c r="A5" s="64" t="str">
        <x:v>symbol</x:v>
      </x:c>
      <x:c r="B5" s="65" t="str">
        <x:v>符号名</x:v>
      </x:c>
      <x:c r="C5" s="72" t="str">
        <x:v>项目里建立 Milvus 连接用的是哪个函数？</x:v>
      </x:c>
      <x:c r="D5" s="65" t="str">
        <x:v>完整历史</x:v>
      </x:c>
      <x:c r="E5" s="75" t="str">
        <x:v>**无法从已获取的证据中确认。**
- 已读取的 module-1.go ~ module-12.go 全部返回占位内容 `func Handler() { /* 实现细节 */ }`，未出现任何 Milvus 连接建立代码（module-4.go，无行号可引）。
- 第 4 轮回复中出现的 `NewMilvus`（adaptor/vector/milvus.go）是助手自述，未附行号，也未由任何 `read_files` 输出佐证，不能作为结论。
待核实的候选标识符：`NewMilvus`（路径 `adaptor/vector/milvus.go`，行号未知）。需读取该文件后才可给出确定答案。</x:v>
      </x:c>
    </x:row>
    <x:row r="6" ht="174.75" customHeight="1">
      <x:c r="A6" s="64" t="str">
        <x:v>symbol</x:v>
      </x:c>
      <x:c r="B6" s="65" t="str">
        <x:v>符号名</x:v>
      </x:c>
      <x:c r="C6" s="72" t="str">
        <x:v>项目里建立 Milvus 连接用的是哪个函数？</x:v>
      </x:c>
      <x:c r="D6" s="65" t="str">
        <x:v>压缩后上下文</x:v>
      </x:c>
      <x:c r="E6" s="75" t="str">
        <x:v>&lt;｜｜DSML｜｜ calls&gt;
&lt;｜｜DSML｜｜ invoke name="read_files"&gt;
&lt;｜｜DSML｜｜ parameter name="path" string="true"&gt;adaptor/vector/milvus.go&lt;/｜｜DSML｜｜ parameter&gt;
&lt;/｜｜DSML｜｜ invoke&gt;
&lt;｜｜DSML｜｜ invoke name="read_files"&gt;
&lt;｜｜DSML｜｜ parameter name="path" string="true"&gt;module-4.go&lt;/｜｜DSML｜｜ parameter&gt;
&lt;/｜｜DSML｜｜ invoke&gt;
&lt;/｜｜DSML｜｜ calls&gt;</x:v>
      </x:c>
    </x:row>
    <x:row r="7" ht="141" customHeight="1">
      <x:c r="A7" s="64" t="str">
        <x:v>fuse</x:v>
      </x:c>
      <x:c r="B7" s="65" t="str">
        <x:v>决策</x:v>
      </x:c>
      <x:c r="C7" s="72" t="str">
        <x:v>稠密与稀疏两路检索的候选结果用什么方法融合？</x:v>
      </x:c>
      <x:c r="D7" s="65" t="str">
        <x:v>完整历史</x:v>
      </x:c>
      <x:c r="E7" s="75" t="str">
        <x:v>**融合方法：RRF（Reciprocal Rank Fusion）**
- 关键标识符：`dense`、`sparse`、`RRF`
- 证据：本对话第 6 轮记录「dense 与 sparse 两路候选改用 RRF 融合，不再分别取并集」
⚠️ 保留说明：该结论仅来自第 6 轮的叙述性记录；本轮 12 次 `read_files` 返回的均是占位内容（`func Handler() { /* 实现细节 */ }`），未解析出任何真实代码行，因此**无法提供文件路径与行号**作为可核实证据。若需满足「结论必须给出文件路径与行号」的要求，请提供检索融合逻辑所在的实际源文件。</x:v>
      </x:c>
    </x:row>
    <x:row r="8" ht="197.25" customHeight="1">
      <x:c r="A8" s="64" t="str">
        <x:v>fuse</x:v>
      </x:c>
      <x:c r="B8" s="65" t="str">
        <x:v>决策</x:v>
      </x:c>
      <x:c r="C8" s="72" t="str">
        <x:v>稠密与稀疏两路检索的候选结果用什么方法融合？</x:v>
      </x:c>
      <x:c r="D8" s="65" t="str">
        <x:v>压缩后上下文</x:v>
      </x:c>
      <x:c r="E8" s="75" t="str">
        <x:v>无法给出可核实的答案——现有工具证据不足。
- 已核实事实：`module-1.go` ~ `module-12.go` 的 12 次 `read_files` 返回内容全部为同一占位符 `func Handler() { /* 实现细节 */ }`，无函数体、无行号、无融合逻辑代码。
- 因此**没有任何文件路径与行号**可支撑「稠密 + 稀疏候选如何融合」的结论。
- 对话中唯一涉及此问题的主张是「dense 与 sparse 两路候选改用 **RRF（Reciprocal Rank Fusion，倒数排名融合）**」，但该主张**无 tool 输出支持**，且未给出文件路径/行号，**不能作为结论**。
- 关键标识符（待验证，非结论）：`dense`、`sparse`、`RRF` / `Reciprocal Rank Fusion`。
- 需要补充的证据：能体现融合逻辑的真实源码文件（例如实际实现该融合的函数所在文件）及其行号；当前读取路径未命中真实实现内容。</x:v>
      </x:c>
    </x:row>
    <x:row r="9" ht="84.75" customHeight="1">
      <x:c r="A9" s="64" t="str">
        <x:v>collection</x:v>
      </x:c>
      <x:c r="B9" s="65" t="str">
        <x:v>标识符</x:v>
      </x:c>
      <x:c r="C9" s="72" t="str">
        <x:v>本次分析指向的 Milvus collection 全名是什么？</x:v>
      </x:c>
      <x:c r="D9" s="65" t="str">
        <x:v>完整历史</x:v>
      </x:c>
      <x:c r="E9" s="75" t="str">
        <x:v>edu_agent_code_docs_p1c6a6a726a49c9a8
说明：该全名来自第 8 轮的记录（module-8.go 的分析），但 module-8.go 的实际读取结果只返回重复的占位内容 `func Handler() { /* 实现细节 */ }`，未包含任何 collection 名称字符串；因此无法给出文件路径与行号，此结论缺乏源码证据支撑。</x:v>
      </x:c>
    </x:row>
    <x:row r="10" ht="129.75" customHeight="1">
      <x:c r="A10" s="64" t="str">
        <x:v>collection</x:v>
      </x:c>
      <x:c r="B10" s="65" t="str">
        <x:v>标识符</x:v>
      </x:c>
      <x:c r="C10" s="72" t="str">
        <x:v>本次分析指向的 Milvus collection 全名是什么？</x:v>
      </x:c>
      <x:c r="D10" s="65" t="str">
        <x:v>压缩后上下文</x:v>
      </x:c>
      <x:c r="E10" s="75" t="str">
        <x:v>无法确认。
- 唯一出现过的 collection 标识符：`edu_agent_code_docs_p1c6a6a726a49c9a8`（第 8 轮自述）。
- 该字符串无任何工具返回佐证；12 次 `read_files`（module-1.go ~ module-12.go）返回内容全部为占位符 `func Handler() { /* 实现细节 */ }`，不含 collection 名，也无行号可引用。
- 因此该 collection 全名目前**不成立为结论**，需先读取真实源码（如 Milvus 相关配置文件/连接代码）并记录文件路径与行号后方可确认。</x:v>
      </x:c>
    </x:row>
    <x:row r="11" ht="107.25" customHeight="1">
      <x:c r="A11" s="64" t="str">
        <x:v>dim</x:v>
      </x:c>
      <x:c r="B11" s="65" t="str">
        <x:v>数值</x:v>
      </x:c>
      <x:c r="C11" s="72" t="str">
        <x:v>embedding-3 的输出向量维度是多少？</x:v>
      </x:c>
      <x:c r="D11" s="65" t="str">
        <x:v>完整历史</x:v>
      </x:c>
      <x:c r="E11" s="75" t="str">
        <x:v>无法确认。
- 读取 `module-11.go` 的返回内容全部是重复的 `func Handler() { /* 实现细节 */ }` 占位符，不含 `embedding-3`，也不含任何向量维度数值。
- 因此该文件中没有可引用的行号证据；先前回复里出现的"2048 维"缺乏文件支撑，不应采信。
- 若需确认 `embedding-3` 的维度，需要提供包含该配置的实际文件（如 embedding 适配器或模型配置源码）。</x:v>
      </x:c>
    </x:row>
    <x:row r="12" ht="129.75" customHeight="1">
      <x:c r="A12" s="66" t="str">
        <x:v>dim</x:v>
      </x:c>
      <x:c r="B12" s="67" t="str">
        <x:v>数值</x:v>
      </x:c>
      <x:c r="C12" s="73" t="str">
        <x:v>embedding-3 的输出向量维度是多少？</x:v>
      </x:c>
      <x:c r="D12" s="67" t="str">
        <x:v>压缩后上下文</x:v>
      </x:c>
      <x:c r="E12" s="76" t="str">
        <x:v>- **结论：无法确认**——现有工具输出中没有任何 `embedding-3` 向量维度的定义。
- **关键标识符**：`embedding-3`；被提及的数值「**2048 维**」仅来自对话自述，**无文件路径与行号支撑，不可采信**。
- **证据状态**：相关读取仅返回占位符 `func Handler() { /* 实现细节 */ }`，`module-4.go` 等文件中无 dimension 字段、无模型配置项，故无行号可引。
- **待补证据**：需读取实际模型配置/客户端初始化代码（含 `embedding-3` 与 `dimension`/`dim` 字段）并给出路径+行号后，方可作答。</x:v>
      </x:c>
    </x:row>
  </x:sheetData>
  <x:pageMargins left="0.7" right="0.7" top="0.75" bottom="0.75" header="0.3" footer="0.3"/>
</x:worksheet>
</file>